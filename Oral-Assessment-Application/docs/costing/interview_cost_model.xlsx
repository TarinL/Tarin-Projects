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Per-Interview" sheetId="2" state="visible" r:id="rId2"/>
    <sheet name="Scal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&quot;$&quot;#,##0.0000"/>
    <numFmt numFmtId="166" formatCode="0.000000"/>
    <numFmt numFmtId="167" formatCode="0.00000"/>
    <numFmt numFmtId="168" formatCode="&quot;$&quot;#,##0.00"/>
    <numFmt numFmtId="169" formatCode="0.0%"/>
    <numFmt numFmtId="170" formatCode="&quot;$&quot;#,##0.000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</font>
    <font>
      <name val="Arial"/>
      <color rgb="00000000"/>
    </font>
    <font>
      <name val="Arial"/>
      <color rgb="000000FF"/>
    </font>
    <font>
      <name val="Arial"/>
      <b val="1"/>
      <color rgb="00FFFFFF"/>
    </font>
    <font>
      <name val="Arial"/>
      <color rgb="00008000"/>
    </font>
    <font>
      <name val="Arial"/>
      <color rgb="00FFFFFF"/>
    </font>
    <font>
      <name val="Arial"/>
      <b val="1"/>
      <color rgb="00000000"/>
    </font>
    <font>
      <name val="Arial"/>
      <b val="1"/>
      <color rgb="00008000"/>
    </font>
  </fonts>
  <fills count="6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FFF00"/>
      </patternFill>
    </fill>
    <fill>
      <patternFill patternType="solid">
        <fgColor rgb="002563EB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164" fontId="5" fillId="3" borderId="0" pivotButton="0" quotePrefix="0" xfId="0"/>
    <xf numFmtId="165" fontId="5" fillId="0" borderId="0" pivotButton="0" quotePrefix="0" xfId="0"/>
    <xf numFmtId="166" fontId="5" fillId="3" borderId="0" pivotButton="0" quotePrefix="0" xfId="0"/>
    <xf numFmtId="167" fontId="5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8" fillId="4" borderId="0" applyAlignment="1" pivotButton="0" quotePrefix="0" xfId="0">
      <alignment horizontal="left"/>
    </xf>
    <xf numFmtId="0" fontId="8" fillId="4" borderId="0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5" fontId="4" fillId="0" borderId="1" pivotButton="0" quotePrefix="0" xfId="0"/>
    <xf numFmtId="168" fontId="4" fillId="0" borderId="1" pivotButton="0" quotePrefix="0" xfId="0"/>
    <xf numFmtId="169" fontId="4" fillId="0" borderId="1" applyAlignment="1" pivotButton="0" quotePrefix="0" xfId="0">
      <alignment horizontal="center"/>
    </xf>
    <xf numFmtId="0" fontId="9" fillId="5" borderId="1" pivotButton="0" quotePrefix="0" xfId="0"/>
    <xf numFmtId="0" fontId="0" fillId="5" borderId="1" pivotButton="0" quotePrefix="0" xfId="0"/>
    <xf numFmtId="165" fontId="9" fillId="5" borderId="1" pivotButton="0" quotePrefix="0" xfId="0"/>
    <xf numFmtId="168" fontId="9" fillId="5" borderId="1" pivotButton="0" quotePrefix="0" xfId="0"/>
    <xf numFmtId="169" fontId="9" fillId="5" borderId="1" applyAlignment="1" pivotButton="0" quotePrefix="0" xfId="0">
      <alignment horizontal="center"/>
    </xf>
    <xf numFmtId="168" fontId="9" fillId="0" borderId="0" pivotButton="0" quotePrefix="0" xfId="0"/>
    <xf numFmtId="170" fontId="4" fillId="0" borderId="0" pivotButton="0" quotePrefix="0" xfId="0"/>
    <xf numFmtId="168" fontId="4" fillId="0" borderId="0" pivotButton="0" quotePrefix="0" xfId="0"/>
    <xf numFmtId="168" fontId="10" fillId="0" borderId="0" pivotButton="0" quotePrefix="0" xfId="0"/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cost-model</author>
  </authors>
  <commentList>
    <comment ref="B5" authorId="0" shapeId="0">
      <text>
        <t>1 = current config (max_tokens 120, gpt-4o marker)
2 = max_tokens 300, gpt-4o
3 = max_tokens 800, reasoning marker</t>
      </text>
    </comment>
    <comment ref="B10" authorId="0" shapeId="0">
      <text>
        <t>Spot ~1.71 (11 Jun 2026). Update as needed.</t>
      </text>
    </comment>
    <comment ref="B19" authorId="0" shapeId="0">
      <text>
        <t>HIGHEST-LEVERAGE ASSUMPTION. Turbo v2.5 = 0.5 credit/char; Creator $22/100k credits -&gt; ~$0.00011/char. Pro/Scale cheaper.</t>
      </text>
    </comment>
    <comment ref="B20" authorId="0" shapeId="0">
      <text>
        <t>$0.50 / recording-hour pay-as-you-go (2026 price), prorated per second.</t>
      </text>
    </comment>
    <comment ref="B25" authorId="0" shapeId="0">
      <text>
        <t>task_definition.json cpu=8192 (rev :7)</t>
      </text>
    </comment>
    <comment ref="B26" authorId="0" shapeId="0">
      <text>
        <t>task_definition.json memory=16384 (rev :7)</t>
      </text>
    </comment>
    <comment ref="B27" authorId="0" shapeId="0">
      <text>
        <t>Image pull + whisper load + post-interview marking, beyond the live interview.</t>
      </text>
    </comment>
    <comment ref="B30" authorId="0" shapeId="0">
      <text>
        <t>Measured 2026-06-12: live gpt-4o marking call on a full 10-min transcript = 5,998 in / 442 out.</t>
      </text>
    </comment>
    <comment ref="B32" authorId="0" shapeId="0">
      <text>
        <t>Time-scaled usage (TTS chars, LLM calls) is divided by this to get a per-minute rate.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Interview Cost Model — Inputs</t>
        </is>
      </c>
    </row>
    <row r="2">
      <c r="A2" s="2" t="inlineStr">
        <is>
          <t>All blue cells are editable. Black = formulas. Currency: NZD unless marked USD.</t>
        </is>
      </c>
    </row>
    <row r="3">
      <c r="A3" s="3" t="inlineStr">
        <is>
          <t>SCENARIO CONTROLS (edit these)</t>
        </is>
      </c>
      <c r="B3" s="4" t="n"/>
      <c r="C3" s="4" t="n"/>
      <c r="D3" s="4" t="n"/>
      <c r="E3" s="4" t="n"/>
    </row>
    <row r="4">
      <c r="A4" s="5" t="inlineStr">
        <is>
          <t>Interview length (minutes)</t>
        </is>
      </c>
      <c r="B4" s="6" t="n">
        <v>10</v>
      </c>
    </row>
    <row r="5">
      <c r="A5" s="5" t="inlineStr">
        <is>
          <t>Depth tier (1=Shallow, 2=Standard, 3=Deep)</t>
        </is>
      </c>
      <c r="B5" s="6" t="n">
        <v>1</v>
      </c>
    </row>
    <row r="6">
      <c r="A6" s="5" t="inlineStr">
        <is>
          <t>Students per class</t>
        </is>
      </c>
      <c r="B6" s="6" t="n">
        <v>30</v>
      </c>
    </row>
    <row r="7">
      <c r="A7" s="5" t="inlineStr">
        <is>
          <t>Assessments per semester</t>
        </is>
      </c>
      <c r="B7" s="6" t="n">
        <v>2</v>
      </c>
    </row>
    <row r="9">
      <c r="A9" s="3" t="inlineStr">
        <is>
          <t>FX</t>
        </is>
      </c>
      <c r="B9" s="4" t="n"/>
      <c r="C9" s="4" t="n"/>
      <c r="D9" s="4" t="n"/>
      <c r="E9" s="4" t="n"/>
    </row>
    <row r="10">
      <c r="A10" s="5" t="inlineStr">
        <is>
          <t>USD -&gt; NZD rate</t>
        </is>
      </c>
      <c r="B10" s="7" t="n">
        <v>1.71</v>
      </c>
    </row>
    <row r="12">
      <c r="A12" s="3" t="inlineStr">
        <is>
          <t>UNIT PRICES (USD, list)</t>
        </is>
      </c>
      <c r="B12" s="4" t="n"/>
      <c r="C12" s="4" t="n"/>
      <c r="D12" s="4" t="n"/>
      <c r="E12" s="4" t="n"/>
    </row>
    <row r="13">
      <c r="A13" s="5" t="inlineStr">
        <is>
          <t>gpt-4o input ($/1M tok)</t>
        </is>
      </c>
      <c r="B13" s="8" t="n">
        <v>2.5</v>
      </c>
    </row>
    <row r="14">
      <c r="A14" s="5" t="inlineStr">
        <is>
          <t>gpt-4o output ($/1M tok)</t>
        </is>
      </c>
      <c r="B14" s="8" t="n">
        <v>10</v>
      </c>
    </row>
    <row r="15">
      <c r="A15" s="5" t="inlineStr">
        <is>
          <t>gpt-4o-mini input ($/1M tok)</t>
        </is>
      </c>
      <c r="B15" s="8" t="n">
        <v>0.15</v>
      </c>
    </row>
    <row r="16">
      <c r="A16" s="5" t="inlineStr">
        <is>
          <t>gpt-4o-mini output ($/1M tok)</t>
        </is>
      </c>
      <c r="B16" s="8" t="n">
        <v>0.6</v>
      </c>
    </row>
    <row r="17">
      <c r="A17" s="5" t="inlineStr">
        <is>
          <t>reasoning input ($/1M tok)</t>
        </is>
      </c>
      <c r="B17" s="8" t="n">
        <v>2</v>
      </c>
    </row>
    <row r="18">
      <c r="A18" s="5" t="inlineStr">
        <is>
          <t>reasoning output ($/1M tok)</t>
        </is>
      </c>
      <c r="B18" s="8" t="n">
        <v>8</v>
      </c>
    </row>
    <row r="19">
      <c r="A19" s="5" t="inlineStr">
        <is>
          <t>ElevenLabs ($/character)</t>
        </is>
      </c>
      <c r="B19" s="9" t="n">
        <v>0.00011</v>
      </c>
    </row>
    <row r="20">
      <c r="A20" s="5" t="inlineStr">
        <is>
          <t>recall.ai ($/bot-minute)</t>
        </is>
      </c>
      <c r="B20" s="10" t="n">
        <v>0.008330000000000001</v>
      </c>
    </row>
    <row r="21">
      <c r="A21" s="5" t="inlineStr">
        <is>
          <t>Fargate ($/vCPU-hour, Sydney)</t>
        </is>
      </c>
      <c r="B21" s="10" t="n">
        <v>0.04856</v>
      </c>
    </row>
    <row r="22">
      <c r="A22" s="5" t="inlineStr">
        <is>
          <t>Fargate ($/GB-hour, Sydney)</t>
        </is>
      </c>
      <c r="B22" s="10" t="n">
        <v>0.00532</v>
      </c>
    </row>
    <row r="24">
      <c r="A24" s="3" t="inlineStr">
        <is>
          <t>TASK / USAGE ASSUMPTIONS</t>
        </is>
      </c>
      <c r="B24" s="4" t="n"/>
      <c r="C24" s="4" t="n"/>
      <c r="D24" s="4" t="n"/>
      <c r="E24" s="4" t="n"/>
    </row>
    <row r="25">
      <c r="A25" s="5" t="inlineStr">
        <is>
          <t>Fargate vCPUs</t>
        </is>
      </c>
      <c r="B25" s="11" t="n">
        <v>8</v>
      </c>
    </row>
    <row r="26">
      <c r="A26" s="5" t="inlineStr">
        <is>
          <t>Fargate memory (GB)</t>
        </is>
      </c>
      <c r="B26" s="11" t="n">
        <v>16</v>
      </c>
    </row>
    <row r="27">
      <c r="A27" s="5" t="inlineStr">
        <is>
          <t>Fargate cold-start overhead (min)</t>
        </is>
      </c>
      <c r="B27" s="11" t="n">
        <v>3</v>
      </c>
    </row>
    <row r="28">
      <c r="A28" s="5" t="inlineStr">
        <is>
          <t>Interviewer LLM calls (per baseline interview)</t>
        </is>
      </c>
      <c r="B28" s="11" t="n">
        <v>13</v>
      </c>
    </row>
    <row r="29">
      <c r="A29" s="5" t="inlineStr">
        <is>
          <t>Interviewer avg input tok / call</t>
        </is>
      </c>
      <c r="B29" s="11" t="n">
        <v>1500</v>
      </c>
    </row>
    <row r="30">
      <c r="A30" s="5" t="inlineStr">
        <is>
          <t>Marking input tokens</t>
        </is>
      </c>
      <c r="B30" s="11" t="n">
        <v>6000</v>
      </c>
    </row>
    <row r="31">
      <c r="A31" s="5" t="inlineStr">
        <is>
          <t>TTS characters (per baseline interview)</t>
        </is>
      </c>
      <c r="B31" s="11" t="n">
        <v>2850</v>
      </c>
    </row>
    <row r="32">
      <c r="A32" s="5" t="inlineStr">
        <is>
          <t>Baseline minutes (for per-minute scaling)</t>
        </is>
      </c>
      <c r="B32" s="11" t="n">
        <v>10</v>
      </c>
    </row>
    <row r="34">
      <c r="A34" s="3" t="inlineStr">
        <is>
          <t>DEPTH TIER TABLE</t>
        </is>
      </c>
      <c r="B34" s="4" t="n"/>
      <c r="C34" s="4" t="n"/>
      <c r="D34" s="4" t="n"/>
      <c r="E34" s="4" t="n"/>
    </row>
    <row r="35">
      <c r="A35" s="12" t="inlineStr">
        <is>
          <t>Tier</t>
        </is>
      </c>
      <c r="B35" s="12" t="inlineStr">
        <is>
          <t>Interviewer max_tokens</t>
        </is>
      </c>
      <c r="C35" s="12" t="inlineStr">
        <is>
          <t>Marking output tok</t>
        </is>
      </c>
      <c r="D35" s="12" t="inlineStr">
        <is>
          <t>Marker in $/1M</t>
        </is>
      </c>
      <c r="E35" s="12" t="inlineStr">
        <is>
          <t>Marker out $/1M</t>
        </is>
      </c>
    </row>
    <row r="36">
      <c r="A36" s="13" t="n">
        <v>1</v>
      </c>
      <c r="B36" s="13" t="n">
        <v>120</v>
      </c>
      <c r="C36" s="13" t="n">
        <v>500</v>
      </c>
      <c r="D36" s="14">
        <f>B13</f>
        <v/>
      </c>
      <c r="E36" s="14">
        <f>B14</f>
        <v/>
      </c>
    </row>
    <row r="37">
      <c r="A37" s="13" t="n">
        <v>2</v>
      </c>
      <c r="B37" s="13" t="n">
        <v>300</v>
      </c>
      <c r="C37" s="13" t="n">
        <v>2500</v>
      </c>
      <c r="D37" s="14">
        <f>B13</f>
        <v/>
      </c>
      <c r="E37" s="14">
        <f>B14</f>
        <v/>
      </c>
    </row>
    <row r="38">
      <c r="A38" s="13" t="n">
        <v>3</v>
      </c>
      <c r="B38" s="13" t="n">
        <v>800</v>
      </c>
      <c r="C38" s="13" t="n">
        <v>6000</v>
      </c>
      <c r="D38" s="14">
        <f>B17</f>
        <v/>
      </c>
      <c r="E38" s="14">
        <f>B18</f>
        <v/>
      </c>
    </row>
    <row r="40">
      <c r="A40" s="3" t="inlineStr">
        <is>
          <t>SELECTED DEPTH (from tier control B5)</t>
        </is>
      </c>
      <c r="B40" s="4" t="n"/>
      <c r="C40" s="4" t="n"/>
      <c r="D40" s="4" t="n"/>
      <c r="E40" s="4" t="n"/>
    </row>
    <row r="41">
      <c r="A41" s="5" t="inlineStr">
        <is>
          <t>Interviewer max_tokens</t>
        </is>
      </c>
      <c r="B41" s="15">
        <f>INDEX(B36:B38,$B$5)</f>
        <v/>
      </c>
    </row>
    <row r="42">
      <c r="A42" s="5" t="inlineStr">
        <is>
          <t>Marking output tokens</t>
        </is>
      </c>
      <c r="B42" s="15">
        <f>INDEX(C36:C38,$B$5)</f>
        <v/>
      </c>
    </row>
    <row r="43">
      <c r="A43" s="5" t="inlineStr">
        <is>
          <t>Marker input $/1M</t>
        </is>
      </c>
      <c r="B43" s="14">
        <f>INDEX(D36:D38,$B$5)</f>
        <v/>
      </c>
    </row>
    <row r="44">
      <c r="A44" s="5" t="inlineStr">
        <is>
          <t>Marker output $/1M</t>
        </is>
      </c>
      <c r="B44" s="14">
        <f>INDEX(E36:E38,$B$5)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Per-Interview Cost</t>
        </is>
      </c>
    </row>
    <row r="3">
      <c r="A3" s="3" t="inlineStr">
        <is>
          <t>Selected scenario</t>
        </is>
      </c>
      <c r="B3" s="4" t="n"/>
      <c r="C3" s="4" t="n"/>
      <c r="D3" s="4" t="n"/>
      <c r="E3" s="4" t="n"/>
    </row>
    <row r="4">
      <c r="A4" s="5" t="inlineStr">
        <is>
          <t>Interview minutes</t>
        </is>
      </c>
      <c r="B4" s="16">
        <f>Inputs!B4</f>
        <v/>
      </c>
    </row>
    <row r="5">
      <c r="A5" s="5" t="inlineStr">
        <is>
          <t>Depth tier</t>
        </is>
      </c>
      <c r="B5" s="16">
        <f>Inputs!B5</f>
        <v/>
      </c>
    </row>
    <row r="6">
      <c r="A6" s="5" t="inlineStr">
        <is>
          <t>USD -&gt; NZD</t>
        </is>
      </c>
      <c r="B6" s="17">
        <f>Inputs!B10</f>
        <v/>
      </c>
    </row>
    <row r="8">
      <c r="A8" s="18" t="inlineStr">
        <is>
          <t>Component</t>
        </is>
      </c>
      <c r="B8" s="19" t="inlineStr">
        <is>
          <t>Scales with</t>
        </is>
      </c>
      <c r="C8" s="19" t="inlineStr">
        <is>
          <t>USD</t>
        </is>
      </c>
      <c r="D8" s="19" t="inlineStr">
        <is>
          <t>NZD</t>
        </is>
      </c>
      <c r="E8" s="19" t="inlineStr">
        <is>
          <t>Share</t>
        </is>
      </c>
    </row>
    <row r="9">
      <c r="A9" s="20" t="inlineStr">
        <is>
          <t>ElevenLabs TTS</t>
        </is>
      </c>
      <c r="B9" s="21" t="inlineStr">
        <is>
          <t>time</t>
        </is>
      </c>
      <c r="C9" s="22">
        <f>(Inputs!B31/Inputs!B32*$B$4)*Inputs!B19</f>
        <v/>
      </c>
      <c r="D9" s="23">
        <f>C9*$B$6</f>
        <v/>
      </c>
      <c r="E9" s="24">
        <f>D9/$D$15</f>
        <v/>
      </c>
    </row>
    <row r="10">
      <c r="A10" s="20" t="inlineStr">
        <is>
          <t>recall.ai bot</t>
        </is>
      </c>
      <c r="B10" s="21" t="inlineStr">
        <is>
          <t>time</t>
        </is>
      </c>
      <c r="C10" s="22">
        <f>Inputs!B20*$B$4</f>
        <v/>
      </c>
      <c r="D10" s="23">
        <f>C10*$B$6</f>
        <v/>
      </c>
      <c r="E10" s="24">
        <f>D10/$D$15</f>
        <v/>
      </c>
    </row>
    <row r="11">
      <c r="A11" s="20" t="inlineStr">
        <is>
          <t>Fargate (8 vCPU / 16 GB)</t>
        </is>
      </c>
      <c r="B11" s="21" t="inlineStr">
        <is>
          <t>time</t>
        </is>
      </c>
      <c r="C11" s="22">
        <f>(Inputs!B25*Inputs!B21+Inputs!B26*Inputs!B22)/60*($B$4+Inputs!B27)</f>
        <v/>
      </c>
      <c r="D11" s="23">
        <f>C11*$B$6</f>
        <v/>
      </c>
      <c r="E11" s="24">
        <f>D11/$D$15</f>
        <v/>
      </c>
    </row>
    <row r="12">
      <c r="A12" s="20" t="inlineStr">
        <is>
          <t>OpenAI marking (gpt-4o)</t>
        </is>
      </c>
      <c r="B12" s="21" t="inlineStr">
        <is>
          <t>depth</t>
        </is>
      </c>
      <c r="C12" s="22">
        <f>(Inputs!B30*Inputs!B43+Inputs!B42*Inputs!B44)/1000000</f>
        <v/>
      </c>
      <c r="D12" s="23">
        <f>C12*$B$6</f>
        <v/>
      </c>
      <c r="E12" s="24">
        <f>D12/$D$15</f>
        <v/>
      </c>
    </row>
    <row r="13">
      <c r="A13" s="20" t="inlineStr">
        <is>
          <t>OpenAI interviewer (gpt-4o-mini)</t>
        </is>
      </c>
      <c r="B13" s="21" t="inlineStr">
        <is>
          <t>time + depth</t>
        </is>
      </c>
      <c r="C13" s="22">
        <f>(Inputs!B28/Inputs!B32*$B$4)*(Inputs!B29*Inputs!B15+Inputs!B41*Inputs!B16)/1000000</f>
        <v/>
      </c>
      <c r="D13" s="23">
        <f>C13*$B$6</f>
        <v/>
      </c>
      <c r="E13" s="24">
        <f>D13/$D$15</f>
        <v/>
      </c>
    </row>
    <row r="14">
      <c r="A14" s="20" t="inlineStr">
        <is>
          <t>faster-whisper STT (local)</t>
        </is>
      </c>
      <c r="B14" s="21" t="inlineStr">
        <is>
          <t>-</t>
        </is>
      </c>
      <c r="C14" s="22">
        <f>0</f>
        <v/>
      </c>
      <c r="D14" s="23">
        <f>C14*$B$6</f>
        <v/>
      </c>
      <c r="E14" s="24">
        <f>D14/$D$15</f>
        <v/>
      </c>
    </row>
    <row r="15">
      <c r="A15" s="25" t="inlineStr">
        <is>
          <t>Total per interview</t>
        </is>
      </c>
      <c r="B15" s="26" t="n"/>
      <c r="C15" s="27">
        <f>SUM(C9:C14)</f>
        <v/>
      </c>
      <c r="D15" s="28">
        <f>SUM(D9:D14)</f>
        <v/>
      </c>
      <c r="E15" s="29">
        <f>SUM(E9:E14)</f>
        <v/>
      </c>
    </row>
    <row r="17">
      <c r="A17" s="3" t="inlineStr">
        <is>
          <t>Headline metrics</t>
        </is>
      </c>
      <c r="B17" s="4" t="n"/>
      <c r="C17" s="4" t="n"/>
      <c r="D17" s="4" t="n"/>
      <c r="E17" s="4" t="n"/>
    </row>
    <row r="18">
      <c r="A18" s="5" t="inlineStr">
        <is>
          <t>Per-interview cost (NZD)</t>
        </is>
      </c>
      <c r="B18" s="30">
        <f>D15</f>
        <v/>
      </c>
    </row>
    <row r="19">
      <c r="A19" s="5" t="inlineStr">
        <is>
          <t>Base rate (NZD / interview-minute)</t>
        </is>
      </c>
      <c r="B19" s="31">
        <f>(D9+D10+(Inputs!B25*Inputs!B21+Inputs!B26*Inputs!B22)/60*$B$4*$B$6+D13)/$B$4</f>
        <v/>
      </c>
    </row>
    <row r="20">
      <c r="A20" s="5" t="inlineStr">
        <is>
          <t>Marking alone (NZD)</t>
        </is>
      </c>
      <c r="B20" s="32">
        <f>D12</f>
        <v/>
      </c>
    </row>
    <row r="22">
      <c r="A22" s="5" t="inlineStr">
        <is>
          <t>Note: base rate excludes marking &amp; Fargate cold-start (the non-time-scaled pieces).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Scaling — class &amp; semester totals</t>
        </is>
      </c>
    </row>
    <row r="3">
      <c r="A3" s="3" t="inlineStr">
        <is>
          <t>Current scenario (uses Inputs tier &amp; minutes)</t>
        </is>
      </c>
      <c r="B3" s="4" t="n"/>
      <c r="C3" s="4" t="n"/>
      <c r="D3" s="4" t="n"/>
      <c r="E3" s="4" t="n"/>
    </row>
    <row r="4">
      <c r="A4" s="5" t="inlineStr">
        <is>
          <t>Per interview (NZD)</t>
        </is>
      </c>
      <c r="B4" s="33">
        <f>'Per-Interview'!B18</f>
        <v/>
      </c>
    </row>
    <row r="5">
      <c r="A5" s="5" t="inlineStr">
        <is>
          <t>Students per class</t>
        </is>
      </c>
      <c r="B5" s="16">
        <f>Inputs!B6</f>
        <v/>
      </c>
    </row>
    <row r="6">
      <c r="A6" s="5" t="inlineStr">
        <is>
          <t>Assessments per semester</t>
        </is>
      </c>
      <c r="B6" s="16">
        <f>Inputs!B7</f>
        <v/>
      </c>
    </row>
    <row r="7">
      <c r="A7" s="5" t="inlineStr">
        <is>
          <t>Per class, 1 assessment</t>
        </is>
      </c>
      <c r="B7" s="32">
        <f>B4*B5</f>
        <v/>
      </c>
    </row>
    <row r="8">
      <c r="A8" s="5" t="inlineStr">
        <is>
          <t>Per class, full semester</t>
        </is>
      </c>
      <c r="B8" s="32">
        <f>B4*B5*B6</f>
        <v/>
      </c>
    </row>
    <row r="11">
      <c r="A11" s="3" t="inlineStr">
        <is>
          <t>Tier parameters (NZD, independent of scenario)</t>
        </is>
      </c>
      <c r="B11" s="4" t="n"/>
      <c r="C11" s="4" t="n"/>
      <c r="D11" s="4" t="n"/>
      <c r="E11" s="4" t="n"/>
    </row>
    <row r="12">
      <c r="B12" s="19" t="inlineStr">
        <is>
          <t>Tier 1</t>
        </is>
      </c>
      <c r="C12" s="19" t="inlineStr">
        <is>
          <t>Tier 2</t>
        </is>
      </c>
      <c r="D12" s="19" t="inlineStr">
        <is>
          <t>Tier 3</t>
        </is>
      </c>
    </row>
    <row r="13">
      <c r="A13" s="5" t="inlineStr">
        <is>
          <t>Variable rate (NZD / min)</t>
        </is>
      </c>
      <c r="B13" s="31">
        <f>((Inputs!B31/Inputs!B32)*Inputs!B19+Inputs!B20+(Inputs!B25*Inputs!B21+Inputs!B26*Inputs!B22)/60+(Inputs!B28/Inputs!B32)*(Inputs!B29*Inputs!B15+Inputs!B36*Inputs!B16)/1000000)*Inputs!B10</f>
        <v/>
      </c>
      <c r="C13" s="31">
        <f>((Inputs!B31/Inputs!B32)*Inputs!B19+Inputs!B20+(Inputs!B25*Inputs!B21+Inputs!B26*Inputs!B22)/60+(Inputs!B28/Inputs!B32)*(Inputs!B29*Inputs!B15+Inputs!B37*Inputs!B16)/1000000)*Inputs!B10</f>
        <v/>
      </c>
      <c r="D13" s="31">
        <f>((Inputs!B31/Inputs!B32)*Inputs!B19+Inputs!B20+(Inputs!B25*Inputs!B21+Inputs!B26*Inputs!B22)/60+(Inputs!B28/Inputs!B32)*(Inputs!B29*Inputs!B15+Inputs!B38*Inputs!B16)/1000000)*Inputs!B10</f>
        <v/>
      </c>
    </row>
    <row r="14">
      <c r="A14" s="5" t="inlineStr">
        <is>
          <t>Fixed per interview (NZD)</t>
        </is>
      </c>
      <c r="B14" s="31">
        <f>((Inputs!B25*Inputs!B21+Inputs!B26*Inputs!B22)/60*Inputs!B27+(Inputs!B30*Inputs!D36+Inputs!C36*Inputs!E36)/1000000)*Inputs!B10</f>
        <v/>
      </c>
      <c r="C14" s="31">
        <f>((Inputs!B25*Inputs!B21+Inputs!B26*Inputs!B22)/60*Inputs!B27+(Inputs!B30*Inputs!D37+Inputs!C37*Inputs!E37)/1000000)*Inputs!B10</f>
        <v/>
      </c>
      <c r="D14" s="31">
        <f>((Inputs!B25*Inputs!B21+Inputs!B26*Inputs!B22)/60*Inputs!B27+(Inputs!B30*Inputs!D38+Inputs!C38*Inputs!E38)/1000000)*Inputs!B10</f>
        <v/>
      </c>
    </row>
    <row r="16">
      <c r="A16" s="3" t="inlineStr">
        <is>
          <t>Per-interview cost (NZD) by length x depth</t>
        </is>
      </c>
      <c r="B16" s="4" t="n"/>
      <c r="C16" s="4" t="n"/>
      <c r="D16" s="4" t="n"/>
      <c r="E16" s="4" t="n"/>
    </row>
    <row r="17">
      <c r="A17" s="19" t="inlineStr">
        <is>
          <t>Minutes</t>
        </is>
      </c>
      <c r="B17" s="19" t="inlineStr">
        <is>
          <t>Shallow</t>
        </is>
      </c>
      <c r="C17" s="19" t="inlineStr">
        <is>
          <t>Standard</t>
        </is>
      </c>
      <c r="D17" s="19" t="inlineStr">
        <is>
          <t>Deep</t>
        </is>
      </c>
    </row>
    <row r="18">
      <c r="A18" s="34" t="n">
        <v>5</v>
      </c>
      <c r="B18" s="23">
        <f>$A18*B$13+B$14</f>
        <v/>
      </c>
      <c r="C18" s="23">
        <f>$A18*C$13+C$14</f>
        <v/>
      </c>
      <c r="D18" s="23">
        <f>$A18*D$13+D$14</f>
        <v/>
      </c>
    </row>
    <row r="19">
      <c r="A19" s="34" t="n">
        <v>10</v>
      </c>
      <c r="B19" s="23">
        <f>$A19*B$13+B$14</f>
        <v/>
      </c>
      <c r="C19" s="23">
        <f>$A19*C$13+C$14</f>
        <v/>
      </c>
      <c r="D19" s="23">
        <f>$A19*D$13+D$14</f>
        <v/>
      </c>
    </row>
    <row r="20">
      <c r="A20" s="34" t="n">
        <v>15</v>
      </c>
      <c r="B20" s="23">
        <f>$A20*B$13+B$14</f>
        <v/>
      </c>
      <c r="C20" s="23">
        <f>$A20*C$13+C$14</f>
        <v/>
      </c>
      <c r="D20" s="23">
        <f>$A20*D$13+D$14</f>
        <v/>
      </c>
    </row>
    <row r="21">
      <c r="A21" s="34" t="n">
        <v>20</v>
      </c>
      <c r="B21" s="23">
        <f>$A21*B$13+B$14</f>
        <v/>
      </c>
      <c r="C21" s="23">
        <f>$A21*C$13+C$14</f>
        <v/>
      </c>
      <c r="D21" s="23">
        <f>$A21*D$13+D$14</f>
        <v/>
      </c>
    </row>
    <row r="24">
      <c r="A24" s="3" t="inlineStr">
        <is>
          <t>Semester cost (NZD) — class of N, all assessments, by depth (10-min interview)</t>
        </is>
      </c>
      <c r="B24" s="4" t="n"/>
      <c r="C24" s="4" t="n"/>
      <c r="D24" s="4" t="n"/>
      <c r="E24" s="4" t="n"/>
    </row>
    <row r="25">
      <c r="B25" s="19" t="inlineStr">
        <is>
          <t>Shallow</t>
        </is>
      </c>
      <c r="C25" s="19" t="inlineStr">
        <is>
          <t>Standard</t>
        </is>
      </c>
      <c r="D25" s="19" t="inlineStr">
        <is>
          <t>Deep</t>
        </is>
      </c>
    </row>
    <row r="26">
      <c r="A26" s="5" t="inlineStr">
        <is>
          <t>Per class, full semester</t>
        </is>
      </c>
      <c r="B26" s="32">
        <f>(10*B13+B14)*Inputs!B6*Inputs!B7</f>
        <v/>
      </c>
      <c r="C26" s="32">
        <f>(10*C13+C14)*Inputs!B6*Inputs!B7</f>
        <v/>
      </c>
      <c r="D26" s="32">
        <f>(10*D13+D14)*Inputs!B6*Inputs!B7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2026-06-12T04:06:53Z</dcterms:created>
  <dcterms:modified xsi:type="dcterms:W3CDTF">2026-06-12T04:06:53Z</dcterms:modified>
</cp:coreProperties>
</file>